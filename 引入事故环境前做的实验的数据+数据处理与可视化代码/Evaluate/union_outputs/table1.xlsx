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3518\Desktop\ai\RL_signal_V0.4.5_d\Evaluate\union_outputs\"/>
    </mc:Choice>
  </mc:AlternateContent>
  <xr:revisionPtr revIDLastSave="0" documentId="13_ncr:1_{CF8458A0-9251-455A-9887-A64F6CE84C24}" xr6:coauthVersionLast="47" xr6:coauthVersionMax="47" xr10:uidLastSave="{00000000-0000-0000-0000-000000000000}"/>
  <bookViews>
    <workbookView xWindow="-98" yWindow="-98" windowWidth="19396" windowHeight="10276" xr2:uid="{977917CA-9774-4430-9F69-3F8EF24026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1" i="1" l="1"/>
  <c r="O22" i="1"/>
  <c r="O20" i="1"/>
  <c r="K21" i="1"/>
  <c r="K20" i="1"/>
  <c r="K22" i="1"/>
  <c r="G21" i="1"/>
  <c r="G22" i="1"/>
  <c r="G20" i="1"/>
  <c r="H41" i="1"/>
  <c r="H42" i="1"/>
  <c r="H40" i="1"/>
  <c r="O34" i="1"/>
  <c r="O35" i="1"/>
  <c r="O33" i="1"/>
  <c r="W34" i="1"/>
  <c r="W35" i="1"/>
  <c r="W33" i="1"/>
  <c r="S37" i="1"/>
  <c r="T37" i="1"/>
  <c r="U37" i="1"/>
  <c r="V37" i="1"/>
  <c r="S38" i="1"/>
  <c r="T38" i="1"/>
  <c r="U38" i="1"/>
  <c r="V38" i="1"/>
  <c r="V36" i="1"/>
  <c r="U36" i="1"/>
  <c r="T36" i="1"/>
  <c r="S36" i="1"/>
  <c r="K37" i="1"/>
  <c r="L37" i="1"/>
  <c r="M37" i="1"/>
  <c r="N37" i="1"/>
  <c r="K38" i="1"/>
  <c r="L38" i="1"/>
  <c r="M38" i="1"/>
  <c r="N38" i="1"/>
  <c r="D37" i="1"/>
  <c r="E37" i="1"/>
  <c r="F37" i="1"/>
  <c r="G37" i="1"/>
  <c r="D38" i="1"/>
  <c r="E38" i="1"/>
  <c r="F38" i="1"/>
  <c r="G38" i="1"/>
  <c r="G36" i="1"/>
  <c r="F36" i="1"/>
  <c r="E36" i="1"/>
  <c r="D36" i="1"/>
  <c r="N36" i="1"/>
  <c r="M36" i="1"/>
  <c r="L36" i="1"/>
  <c r="K36" i="1"/>
  <c r="O18" i="1"/>
  <c r="O17" i="1"/>
  <c r="O16" i="1"/>
  <c r="H17" i="1"/>
  <c r="E17" i="1"/>
  <c r="F17" i="1"/>
  <c r="G17" i="1"/>
  <c r="I17" i="1"/>
  <c r="J17" i="1"/>
  <c r="K17" i="1"/>
  <c r="L17" i="1"/>
  <c r="M17" i="1"/>
  <c r="N17" i="1"/>
  <c r="E18" i="1"/>
  <c r="F18" i="1"/>
  <c r="G18" i="1"/>
  <c r="H18" i="1"/>
  <c r="I18" i="1"/>
  <c r="J18" i="1"/>
  <c r="K18" i="1"/>
  <c r="L18" i="1"/>
  <c r="M18" i="1"/>
  <c r="N18" i="1"/>
  <c r="N16" i="1"/>
  <c r="M16" i="1"/>
  <c r="L16" i="1"/>
  <c r="K16" i="1"/>
  <c r="J16" i="1"/>
  <c r="I16" i="1"/>
  <c r="H16" i="1"/>
  <c r="G16" i="1"/>
  <c r="F16" i="1"/>
  <c r="E16" i="1"/>
  <c r="D18" i="1"/>
  <c r="D17" i="1"/>
  <c r="D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tc={6B9E419A-7D28-4888-A875-843461E20F0A}</author>
  </authors>
  <commentList>
    <comment ref="S32" authorId="0" shapeId="0" xr:uid="{6B9E419A-7D28-4888-A875-843461E20F0A}">
      <text>
        <t>[线程批注]
你的Excel版本可读取此线程批注; 但如果在更新版本的Excel中打开文件，则对批注所作的任何改动都将被删除。了解详细信息: https://go.microsoft.com/fwlink/?linkid=870924
注释:
    MoCo算AVG时没算5%</t>
      </text>
    </comment>
  </commentList>
</comments>
</file>

<file path=xl/sharedStrings.xml><?xml version="1.0" encoding="utf-8"?>
<sst xmlns="http://schemas.openxmlformats.org/spreadsheetml/2006/main" count="40" uniqueCount="22">
  <si>
    <t>Maxpressure</t>
  </si>
  <si>
    <t>PPO</t>
  </si>
  <si>
    <t>A3C</t>
  </si>
  <si>
    <t>SAC</t>
  </si>
  <si>
    <t>avg wait time</t>
  </si>
  <si>
    <t>avg speed</t>
  </si>
  <si>
    <t>avg queue</t>
  </si>
  <si>
    <t>P-Rate</t>
  </si>
  <si>
    <t>4x4</t>
  </si>
  <si>
    <t>5x5</t>
  </si>
  <si>
    <t>MoCo</t>
  </si>
  <si>
    <t>Fixed time</t>
  </si>
  <si>
    <t>Websters</t>
  </si>
  <si>
    <t>environment</t>
  </si>
  <si>
    <t>algorithm</t>
  </si>
  <si>
    <t>注：以下4x4数据取到2000秒</t>
  </si>
  <si>
    <t>Fixed Time</t>
  </si>
  <si>
    <t>AVG(impovement)</t>
  </si>
  <si>
    <t>相较于Maxpressure的比率</t>
  </si>
  <si>
    <t>4x4 AVG improvement</t>
  </si>
  <si>
    <t>AVG(improvement)</t>
  </si>
  <si>
    <t>4x4算平均后waittime性能下降了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</si>
</sst>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6" formatCode="0.000%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0" borderId="0" xfId="0" applyFont="1"/>
    <xf numFmtId="10" fontId="0" fillId="0" borderId="0" xfId="0" applyNumberFormat="1"/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/>
    <xf numFmtId="9" fontId="0" fillId="0" borderId="7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0" fontId="0" fillId="0" borderId="0" xfId="0" applyNumberFormat="1"/>
    <xf numFmtId="9" fontId="0" fillId="2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0" fontId="0" fillId="3" borderId="1" xfId="0" applyNumberFormat="1" applyFill="1" applyBorder="1"/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9" fontId="0" fillId="3" borderId="1" xfId="0" applyNumberFormat="1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0" fontId="0" fillId="3" borderId="1" xfId="0" applyNumberFormat="1" applyFill="1" applyBorder="1" applyAlignment="1">
      <alignment horizontal="center"/>
    </xf>
    <xf numFmtId="10" fontId="1" fillId="3" borderId="1" xfId="0" applyNumberFormat="1" applyFont="1" applyFill="1" applyBorder="1"/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20708</xdr:colOff>
      <xdr:row>38</xdr:row>
      <xdr:rowOff>8284</xdr:rowOff>
    </xdr:from>
    <xdr:to>
      <xdr:col>6</xdr:col>
      <xdr:colOff>169668</xdr:colOff>
      <xdr:row>56</xdr:row>
      <xdr:rowOff>46466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7D69D543-33FC-CF1B-5D14-BA93453856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08" y="6932545"/>
          <a:ext cx="4994286" cy="3318095"/>
        </a:xfrm>
        <a:prstGeom prst="rect">
          <a:avLst/>
        </a:prstGeom>
      </xdr:spPr>
    </xdr:pic>
    <xdr:clientData/>
  </xdr:twoCellAnchor>
  <xdr:twoCellAnchor editAs="oneCell">
    <xdr:from>
      <xdr:col>0</xdr:col>
      <xdr:colOff>8282</xdr:colOff>
      <xdr:row>15</xdr:row>
      <xdr:rowOff>24848</xdr:rowOff>
    </xdr:from>
    <xdr:to>
      <xdr:col>3</xdr:col>
      <xdr:colOff>91107</xdr:colOff>
      <xdr:row>23</xdr:row>
      <xdr:rowOff>30109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25E5A279-FAFD-4DD7-E19F-EEEA1B2720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82" y="2758109"/>
          <a:ext cx="2990021" cy="1463000"/>
        </a:xfrm>
        <a:prstGeom prst="rect">
          <a:avLst/>
        </a:prstGeom>
      </xdr:spPr>
    </xdr:pic>
    <xdr:clientData/>
  </xdr:twoCellAnchor>
  <xdr:twoCellAnchor editAs="oneCell">
    <xdr:from>
      <xdr:col>17</xdr:col>
      <xdr:colOff>621195</xdr:colOff>
      <xdr:row>38</xdr:row>
      <xdr:rowOff>57979</xdr:rowOff>
    </xdr:from>
    <xdr:to>
      <xdr:col>22</xdr:col>
      <xdr:colOff>948121</xdr:colOff>
      <xdr:row>43</xdr:row>
      <xdr:rowOff>161178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D0DDDFB9-FFCF-E457-8A27-65EB09DA3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724282" y="6982240"/>
          <a:ext cx="3557143" cy="101428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Zhaoyuan Yue" id="{6699EC10-D13C-46A5-B930-06780F60C330}" userId="712b67d0b476386d" providerId="Windows Live"/>
</personList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S32" dT="2024-03-30T15:03:49.69" personId="{6699EC10-D13C-46A5-B930-06780F60C330}" id="{6B9E419A-7D28-4888-A875-843461E20F0A}">
    <text>MoCo算AVG时没算5%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08FF5-BEB5-4398-AAAC-676B4940FCC3}">
  <dimension ref="A9:AA42"/>
  <sheetViews>
    <sheetView tabSelected="1" zoomScale="115" zoomScaleNormal="115" workbookViewId="0">
      <selection activeCell="S15" sqref="S15"/>
    </sheetView>
  </sheetViews>
  <sheetFormatPr defaultRowHeight="14.25" x14ac:dyDescent="0.45"/>
  <cols>
    <col min="1" max="2" width="13.73046875" customWidth="1"/>
    <col min="3" max="3" width="13.19921875" customWidth="1"/>
    <col min="8" max="8" width="21" customWidth="1"/>
    <col min="9" max="9" width="12.265625" customWidth="1"/>
    <col min="15" max="15" width="18" customWidth="1"/>
    <col min="17" max="17" width="12.9296875" customWidth="1"/>
    <col min="18" max="18" width="9.06640625" customWidth="1"/>
    <col min="23" max="23" width="22.3984375" customWidth="1"/>
    <col min="26" max="26" width="12" customWidth="1"/>
  </cols>
  <sheetData>
    <row r="9" spans="1:16" x14ac:dyDescent="0.45">
      <c r="A9" s="7" t="s">
        <v>15</v>
      </c>
      <c r="B9" s="7"/>
    </row>
    <row r="11" spans="1:16" x14ac:dyDescent="0.45">
      <c r="A11" s="11"/>
      <c r="B11" s="1" t="s">
        <v>16</v>
      </c>
      <c r="C11" s="1" t="s">
        <v>0</v>
      </c>
      <c r="D11" s="12" t="s">
        <v>1</v>
      </c>
      <c r="E11" s="12"/>
      <c r="F11" s="12"/>
      <c r="G11" s="12"/>
      <c r="H11" s="12" t="s">
        <v>2</v>
      </c>
      <c r="I11" s="12"/>
      <c r="J11" s="12"/>
      <c r="K11" s="12"/>
      <c r="L11" s="15" t="s">
        <v>3</v>
      </c>
      <c r="M11" s="17"/>
      <c r="N11" s="17"/>
      <c r="O11" s="16"/>
      <c r="P11" s="18"/>
    </row>
    <row r="12" spans="1:16" x14ac:dyDescent="0.45">
      <c r="A12" s="11"/>
      <c r="B12" s="15" t="s">
        <v>7</v>
      </c>
      <c r="C12" s="16"/>
      <c r="D12" s="2">
        <v>0.05</v>
      </c>
      <c r="E12" s="2">
        <v>0.1</v>
      </c>
      <c r="F12" s="2">
        <v>0.2</v>
      </c>
      <c r="G12" s="2">
        <v>1</v>
      </c>
      <c r="H12" s="2">
        <v>0.05</v>
      </c>
      <c r="I12" s="2">
        <v>0.1</v>
      </c>
      <c r="J12" s="2">
        <v>0.2</v>
      </c>
      <c r="K12" s="2">
        <v>1</v>
      </c>
      <c r="L12" s="2">
        <v>0.05</v>
      </c>
      <c r="M12" s="2">
        <v>0.1</v>
      </c>
      <c r="N12" s="2">
        <v>0.2</v>
      </c>
      <c r="O12" s="2">
        <v>1</v>
      </c>
      <c r="P12" s="19"/>
    </row>
    <row r="13" spans="1:16" x14ac:dyDescent="0.45">
      <c r="A13" s="1" t="s">
        <v>4</v>
      </c>
      <c r="B13" s="3">
        <v>3.5013070000000002</v>
      </c>
      <c r="C13" s="3">
        <v>3.0420389999999999</v>
      </c>
      <c r="D13" s="3">
        <v>4.3899309999999998</v>
      </c>
      <c r="E13" s="3">
        <v>4.0200570000000004</v>
      </c>
      <c r="F13" s="3">
        <v>2.5935589999999999</v>
      </c>
      <c r="G13" s="3">
        <v>1.7128399999999999</v>
      </c>
      <c r="H13" s="3">
        <v>18.262823000000001</v>
      </c>
      <c r="I13" s="3">
        <v>14.244892</v>
      </c>
      <c r="J13" s="3">
        <v>4.5994099999999998</v>
      </c>
      <c r="K13" s="3">
        <v>2.362018</v>
      </c>
      <c r="L13" s="3">
        <v>25.231368</v>
      </c>
      <c r="M13" s="3">
        <v>19.362413</v>
      </c>
      <c r="N13" s="3">
        <v>6.3324800000000003</v>
      </c>
      <c r="O13" s="3">
        <v>4.6564290000000002</v>
      </c>
      <c r="P13" s="20"/>
    </row>
    <row r="14" spans="1:16" x14ac:dyDescent="0.45">
      <c r="A14" s="1" t="s">
        <v>5</v>
      </c>
      <c r="B14" s="3">
        <v>2.2783699999999998</v>
      </c>
      <c r="C14" s="3">
        <v>3.2276639999999999</v>
      </c>
      <c r="D14" s="3">
        <v>3.275814</v>
      </c>
      <c r="E14" s="3">
        <v>3.7772619999999999</v>
      </c>
      <c r="F14" s="3">
        <v>4.827521</v>
      </c>
      <c r="G14" s="3">
        <v>5.6842420000000002</v>
      </c>
      <c r="H14" s="3">
        <v>2.3774760000000001</v>
      </c>
      <c r="I14" s="3">
        <v>3.3081119999999999</v>
      </c>
      <c r="J14" s="3">
        <v>4.231446</v>
      </c>
      <c r="K14" s="3">
        <v>5.2939860000000003</v>
      </c>
      <c r="L14" s="3">
        <v>2.258823</v>
      </c>
      <c r="M14" s="3">
        <v>3.263649</v>
      </c>
      <c r="N14" s="3">
        <v>4.4275500000000001</v>
      </c>
      <c r="O14" s="3">
        <v>5.8245959999999997</v>
      </c>
      <c r="P14" s="20"/>
    </row>
    <row r="15" spans="1:16" x14ac:dyDescent="0.45">
      <c r="A15" s="1" t="s">
        <v>6</v>
      </c>
      <c r="B15" s="3">
        <v>19.421057999999999</v>
      </c>
      <c r="C15" s="3">
        <v>13.96875</v>
      </c>
      <c r="D15" s="3">
        <v>11.553596000000001</v>
      </c>
      <c r="E15" s="3">
        <v>8.8902319999999992</v>
      </c>
      <c r="F15" s="3">
        <v>5.8570669999999998</v>
      </c>
      <c r="G15" s="3">
        <v>4.4107729999999998</v>
      </c>
      <c r="H15" s="3">
        <v>18.528642999999999</v>
      </c>
      <c r="I15" s="3">
        <v>11.92657</v>
      </c>
      <c r="J15" s="3">
        <v>7.5236179999999999</v>
      </c>
      <c r="K15" s="3">
        <v>4.9009419999999997</v>
      </c>
      <c r="L15" s="3">
        <v>20.265765999999999</v>
      </c>
      <c r="M15" s="3">
        <v>12.561762</v>
      </c>
      <c r="N15" s="3">
        <v>7.2508010000000001</v>
      </c>
      <c r="O15" s="3">
        <v>4.6549940000000003</v>
      </c>
      <c r="P15" s="20"/>
    </row>
    <row r="16" spans="1:16" x14ac:dyDescent="0.45">
      <c r="D16" s="8">
        <f>D13/B13</f>
        <v>1.2537977960801494</v>
      </c>
      <c r="E16" s="8">
        <f>E13/B13</f>
        <v>1.1481589589259098</v>
      </c>
      <c r="F16" s="8">
        <f>F13/B13</f>
        <v>0.74074024357190038</v>
      </c>
      <c r="G16" s="8">
        <f>G13/B13</f>
        <v>0.48920017582005798</v>
      </c>
      <c r="H16" s="8">
        <f>H13/B13</f>
        <v>5.2160016245362089</v>
      </c>
      <c r="I16" s="8">
        <f>I13/B13</f>
        <v>4.0684498674352172</v>
      </c>
      <c r="J16" s="8">
        <f>J13/B13</f>
        <v>1.313626597153577</v>
      </c>
      <c r="K16" s="8">
        <f>K13/B13</f>
        <v>0.67461036692869258</v>
      </c>
      <c r="L16" s="8">
        <f>L13/B13</f>
        <v>7.2062712581330342</v>
      </c>
      <c r="M16" s="8">
        <f>M13/B13</f>
        <v>5.530052920238071</v>
      </c>
      <c r="N16" s="8">
        <f>N13/B13</f>
        <v>1.8086046153622062</v>
      </c>
      <c r="O16" s="8">
        <f>O13/B13</f>
        <v>1.3299116587034499</v>
      </c>
      <c r="P16" s="8"/>
    </row>
    <row r="17" spans="1:27" x14ac:dyDescent="0.45">
      <c r="D17" s="8">
        <f>D14/B14</f>
        <v>1.4377884189135217</v>
      </c>
      <c r="E17" s="8">
        <f t="shared" ref="E17:E18" si="0">E14/B14</f>
        <v>1.6578790977760418</v>
      </c>
      <c r="F17" s="8">
        <f t="shared" ref="F17:F18" si="1">F14/B14</f>
        <v>2.1188485627883096</v>
      </c>
      <c r="G17" s="8">
        <f t="shared" ref="G17:G18" si="2">G14/B14</f>
        <v>2.4948722112738495</v>
      </c>
      <c r="H17" s="8">
        <f>H14/B14</f>
        <v>1.0434986415727034</v>
      </c>
      <c r="I17" s="8">
        <f>I14/B14</f>
        <v>1.4519643429293752</v>
      </c>
      <c r="J17" s="8">
        <f>J14/B14</f>
        <v>1.8572251214684183</v>
      </c>
      <c r="K17" s="8">
        <f>K14/B14</f>
        <v>2.3235848435504334</v>
      </c>
      <c r="L17" s="8">
        <f>L14/B14</f>
        <v>0.99142062088247307</v>
      </c>
      <c r="M17" s="8">
        <f>M14/B14</f>
        <v>1.4324490754355088</v>
      </c>
      <c r="N17" s="8">
        <f>N14/B14</f>
        <v>1.9432971817571336</v>
      </c>
      <c r="O17" s="8">
        <f>O14/B14</f>
        <v>2.5564750238108824</v>
      </c>
      <c r="P17" s="8"/>
    </row>
    <row r="18" spans="1:27" x14ac:dyDescent="0.45">
      <c r="D18" s="8">
        <f>D15/B15</f>
        <v>0.59490044260204578</v>
      </c>
      <c r="E18" s="8">
        <f t="shared" si="0"/>
        <v>0.45776249677025832</v>
      </c>
      <c r="F18" s="8">
        <f t="shared" si="1"/>
        <v>0.30158331229946383</v>
      </c>
      <c r="G18" s="8">
        <f t="shared" si="2"/>
        <v>0.2271129101205506</v>
      </c>
      <c r="H18" s="8">
        <f>H15/B15</f>
        <v>0.95404910484279493</v>
      </c>
      <c r="I18" s="8">
        <f>I15/B15</f>
        <v>0.61410506059968517</v>
      </c>
      <c r="J18" s="8">
        <f>J15/B15</f>
        <v>0.38739485768489029</v>
      </c>
      <c r="K18" s="8">
        <f>K15/B15</f>
        <v>0.25235195734444538</v>
      </c>
      <c r="L18" s="8">
        <f>L15/B15</f>
        <v>1.043494437841646</v>
      </c>
      <c r="M18" s="8">
        <f>M15/B15</f>
        <v>0.64681141470253578</v>
      </c>
      <c r="N18" s="8">
        <f>N15/B15</f>
        <v>0.3733473737630566</v>
      </c>
      <c r="O18" s="8">
        <f>O15/B15</f>
        <v>0.23968797168516776</v>
      </c>
      <c r="P18" s="8"/>
    </row>
    <row r="19" spans="1:27" x14ac:dyDescent="0.45">
      <c r="G19" s="31" t="s">
        <v>20</v>
      </c>
      <c r="K19" s="31" t="s">
        <v>20</v>
      </c>
      <c r="O19" s="31" t="s">
        <v>20</v>
      </c>
    </row>
    <row r="20" spans="1:27" x14ac:dyDescent="0.45">
      <c r="G20" s="32">
        <f>(((D13+E13+F13+G13)/4)-C13)/C13</f>
        <v>4.5054567019029115E-2</v>
      </c>
      <c r="H20" s="33"/>
      <c r="K20" s="32">
        <f>(((H13+I13+J13+K13)/4)-C13)/C13</f>
        <v>2.2436420933459438</v>
      </c>
      <c r="O20" s="32">
        <f>(((L13+M13+N13+O13)/4)-C13)/C13</f>
        <v>3.5678811152651235</v>
      </c>
      <c r="Q20" s="7" t="s">
        <v>21</v>
      </c>
    </row>
    <row r="21" spans="1:27" x14ac:dyDescent="0.45">
      <c r="G21" s="24">
        <f t="shared" ref="G21:G22" si="3">(((D14+E14+F14+G14)/4)-C14)/C14</f>
        <v>0.3604915970187727</v>
      </c>
      <c r="K21" s="24">
        <f>(((H14+I14+J14+K14)/4)-C14)/C14</f>
        <v>0.17817560935710797</v>
      </c>
      <c r="O21" s="24">
        <f t="shared" ref="O21:O22" si="4">(((L14+M14+N14+O14)/4)-C14)/C14</f>
        <v>0.22182931680621037</v>
      </c>
    </row>
    <row r="22" spans="1:27" x14ac:dyDescent="0.45">
      <c r="G22" s="24">
        <f t="shared" si="3"/>
        <v>-0.45035046085011188</v>
      </c>
      <c r="K22" s="24">
        <f>(((H15+I15+J15+K15)/4)-C15)/C15</f>
        <v>-0.23257676957494408</v>
      </c>
      <c r="O22" s="24">
        <f t="shared" si="4"/>
        <v>-0.19940361521252786</v>
      </c>
    </row>
    <row r="30" spans="1:27" x14ac:dyDescent="0.45">
      <c r="A30" s="13"/>
      <c r="B30" s="4"/>
      <c r="C30" s="4" t="s">
        <v>13</v>
      </c>
      <c r="D30" s="14" t="s">
        <v>8</v>
      </c>
      <c r="E30" s="14"/>
      <c r="F30" s="14"/>
      <c r="G30" s="14"/>
      <c r="H30" s="14"/>
      <c r="I30" s="14"/>
      <c r="J30" s="14"/>
      <c r="K30" s="14" t="s">
        <v>9</v>
      </c>
      <c r="L30" s="14"/>
      <c r="M30" s="14"/>
      <c r="N30" s="14"/>
      <c r="O30" s="14"/>
      <c r="P30" s="14"/>
      <c r="Q30" s="14"/>
      <c r="R30" s="14"/>
      <c r="S30" s="14" t="s">
        <v>10</v>
      </c>
      <c r="T30" s="14"/>
      <c r="U30" s="14"/>
      <c r="V30" s="14"/>
      <c r="W30" s="14"/>
      <c r="X30" s="14"/>
      <c r="Y30" s="14"/>
      <c r="Z30" s="14"/>
      <c r="AA30" s="14"/>
    </row>
    <row r="31" spans="1:27" x14ac:dyDescent="0.45">
      <c r="A31" s="13"/>
      <c r="B31" s="4"/>
      <c r="C31" s="4" t="s">
        <v>14</v>
      </c>
      <c r="D31" s="14" t="s">
        <v>1</v>
      </c>
      <c r="E31" s="14"/>
      <c r="F31" s="14"/>
      <c r="G31" s="14"/>
      <c r="H31" s="14" t="s">
        <v>11</v>
      </c>
      <c r="I31" s="14" t="s">
        <v>0</v>
      </c>
      <c r="J31" s="14" t="s">
        <v>12</v>
      </c>
      <c r="K31" s="25" t="s">
        <v>1</v>
      </c>
      <c r="L31" s="26"/>
      <c r="M31" s="26"/>
      <c r="N31" s="26"/>
      <c r="O31" s="27"/>
      <c r="P31" s="14" t="s">
        <v>11</v>
      </c>
      <c r="Q31" s="14" t="s">
        <v>0</v>
      </c>
      <c r="R31" s="14" t="s">
        <v>12</v>
      </c>
      <c r="S31" s="14" t="s">
        <v>1</v>
      </c>
      <c r="T31" s="14"/>
      <c r="U31" s="14"/>
      <c r="V31" s="14"/>
      <c r="W31" s="4"/>
      <c r="X31" s="4" t="s">
        <v>2</v>
      </c>
      <c r="Y31" s="14" t="s">
        <v>11</v>
      </c>
      <c r="Z31" s="14" t="s">
        <v>0</v>
      </c>
      <c r="AA31" s="14" t="s">
        <v>12</v>
      </c>
    </row>
    <row r="32" spans="1:27" x14ac:dyDescent="0.45">
      <c r="A32" s="13"/>
      <c r="B32" s="4"/>
      <c r="C32" s="4" t="s">
        <v>7</v>
      </c>
      <c r="D32" s="5">
        <v>0.05</v>
      </c>
      <c r="E32" s="5">
        <v>0.1</v>
      </c>
      <c r="F32" s="5">
        <v>0.2</v>
      </c>
      <c r="G32" s="5">
        <v>1</v>
      </c>
      <c r="H32" s="14"/>
      <c r="I32" s="14"/>
      <c r="J32" s="14"/>
      <c r="K32" s="5">
        <v>0.05</v>
      </c>
      <c r="L32" s="5">
        <v>0.1</v>
      </c>
      <c r="M32" s="5">
        <v>0.2</v>
      </c>
      <c r="N32" s="5">
        <v>1</v>
      </c>
      <c r="O32" s="28" t="s">
        <v>17</v>
      </c>
      <c r="P32" s="14"/>
      <c r="Q32" s="14"/>
      <c r="R32" s="14"/>
      <c r="S32" s="22">
        <v>0.05</v>
      </c>
      <c r="T32" s="5">
        <v>0.1</v>
      </c>
      <c r="U32" s="5">
        <v>0.2</v>
      </c>
      <c r="V32" s="5">
        <v>1</v>
      </c>
      <c r="W32" s="28" t="s">
        <v>17</v>
      </c>
      <c r="X32" s="5">
        <v>1</v>
      </c>
      <c r="Y32" s="14"/>
      <c r="Z32" s="14"/>
      <c r="AA32" s="14"/>
    </row>
    <row r="33" spans="1:27" x14ac:dyDescent="0.45">
      <c r="A33" s="15" t="s">
        <v>4</v>
      </c>
      <c r="B33" s="17"/>
      <c r="C33" s="16"/>
      <c r="D33" s="3">
        <v>4.3899309999999998</v>
      </c>
      <c r="E33" s="3">
        <v>4.0200570000000004</v>
      </c>
      <c r="F33" s="3">
        <v>2.5935589999999999</v>
      </c>
      <c r="G33" s="3">
        <v>1.7128399999999999</v>
      </c>
      <c r="H33" s="3">
        <v>3.5013070000000002</v>
      </c>
      <c r="I33" s="3">
        <v>3.0420389999999999</v>
      </c>
      <c r="J33" s="6">
        <v>2.7132480000000001</v>
      </c>
      <c r="K33" s="6">
        <v>30.940978000000001</v>
      </c>
      <c r="L33" s="6">
        <v>31.777676</v>
      </c>
      <c r="M33" s="6">
        <v>53.760291000000002</v>
      </c>
      <c r="N33" s="6">
        <v>34.239308000000001</v>
      </c>
      <c r="O33" s="29">
        <f>(((K33+L33+M33+N33)/4)-Q33)/Q33</f>
        <v>-0.25389980478996726</v>
      </c>
      <c r="P33" s="6">
        <v>45.869188999999999</v>
      </c>
      <c r="Q33" s="6">
        <v>50.502015</v>
      </c>
      <c r="R33" s="6">
        <v>38.241723</v>
      </c>
      <c r="S33" s="23">
        <v>79.648196999999996</v>
      </c>
      <c r="T33" s="6">
        <v>0.95447499999999996</v>
      </c>
      <c r="U33" s="6">
        <v>0.67514700000000005</v>
      </c>
      <c r="V33" s="6">
        <v>0.64658199999999999</v>
      </c>
      <c r="W33" s="29">
        <f>(((T33+U33+V33)/4)-Z33)/Z33</f>
        <v>-0.76306778485318605</v>
      </c>
      <c r="X33" s="6">
        <v>4.8390899999999997</v>
      </c>
      <c r="Y33" s="6">
        <v>5.4670769999999997</v>
      </c>
      <c r="Z33" s="6">
        <v>2.4017460000000002</v>
      </c>
      <c r="AA33" s="6">
        <v>3.8377279999999998</v>
      </c>
    </row>
    <row r="34" spans="1:27" x14ac:dyDescent="0.45">
      <c r="A34" s="15" t="s">
        <v>5</v>
      </c>
      <c r="B34" s="17"/>
      <c r="C34" s="16"/>
      <c r="D34" s="3">
        <v>3.275814</v>
      </c>
      <c r="E34" s="3">
        <v>3.7772619999999999</v>
      </c>
      <c r="F34" s="3">
        <v>4.827521</v>
      </c>
      <c r="G34" s="3">
        <v>5.6842420000000002</v>
      </c>
      <c r="H34" s="3">
        <v>2.2783699999999998</v>
      </c>
      <c r="I34" s="3">
        <v>3.2276639999999999</v>
      </c>
      <c r="J34" s="6">
        <v>2.6647970000000001</v>
      </c>
      <c r="K34" s="6">
        <v>1.642374</v>
      </c>
      <c r="L34" s="6">
        <v>2.3092199999999998</v>
      </c>
      <c r="M34" s="6">
        <v>2.4764849999999998</v>
      </c>
      <c r="N34" s="6">
        <v>3.3570099999999998</v>
      </c>
      <c r="O34" s="29">
        <f t="shared" ref="O34:O35" si="5">(((K34+L34+M34+N34)/4)-Q34)/Q34</f>
        <v>6.1949684988541538E-2</v>
      </c>
      <c r="P34" s="6">
        <v>1.803625</v>
      </c>
      <c r="Q34" s="6">
        <v>2.3035670000000001</v>
      </c>
      <c r="R34" s="6">
        <v>2.0255740000000002</v>
      </c>
      <c r="S34" s="23">
        <v>2.2751709999999998</v>
      </c>
      <c r="T34" s="6">
        <v>6.6595950000000004</v>
      </c>
      <c r="U34" s="6">
        <v>6.8925460000000003</v>
      </c>
      <c r="V34" s="6">
        <v>6.7222850000000003</v>
      </c>
      <c r="W34" s="29">
        <f t="shared" ref="W34:W35" si="6">(((T34+U34+V34)/4)-Z34)/Z34</f>
        <v>0.4708141584035162</v>
      </c>
      <c r="X34" s="6">
        <v>6.0816509999999999</v>
      </c>
      <c r="Y34" s="6">
        <v>2.932188</v>
      </c>
      <c r="Z34" s="6">
        <v>3.446123</v>
      </c>
      <c r="AA34" s="6">
        <v>3.2659560000000001</v>
      </c>
    </row>
    <row r="35" spans="1:27" x14ac:dyDescent="0.45">
      <c r="A35" s="15" t="s">
        <v>6</v>
      </c>
      <c r="B35" s="17"/>
      <c r="C35" s="16"/>
      <c r="D35" s="3">
        <v>11.553596000000001</v>
      </c>
      <c r="E35" s="3">
        <v>8.8902319999999992</v>
      </c>
      <c r="F35" s="3">
        <v>5.8570669999999998</v>
      </c>
      <c r="G35" s="3">
        <v>4.4107729999999998</v>
      </c>
      <c r="H35" s="3">
        <v>19.421057999999999</v>
      </c>
      <c r="I35" s="3">
        <v>13.96875</v>
      </c>
      <c r="J35" s="6">
        <v>16.24587</v>
      </c>
      <c r="K35" s="6">
        <v>21.351168999999999</v>
      </c>
      <c r="L35" s="6">
        <v>15.605371999999999</v>
      </c>
      <c r="M35" s="6">
        <v>15.003921999999999</v>
      </c>
      <c r="N35" s="6">
        <v>11.004932</v>
      </c>
      <c r="O35" s="29">
        <f t="shared" si="5"/>
        <v>-1.9274419329678456E-2</v>
      </c>
      <c r="P35" s="6">
        <v>19.851710000000001</v>
      </c>
      <c r="Q35" s="6">
        <v>16.050716999999999</v>
      </c>
      <c r="R35" s="6">
        <v>18.190550000000002</v>
      </c>
      <c r="S35" s="23">
        <v>21.974215000000001</v>
      </c>
      <c r="T35" s="6">
        <v>3.0729600000000001</v>
      </c>
      <c r="U35" s="6">
        <v>2.3152370000000002</v>
      </c>
      <c r="V35" s="6">
        <v>1.7738670000000001</v>
      </c>
      <c r="W35" s="29">
        <f t="shared" si="6"/>
        <v>-0.67552746928547447</v>
      </c>
      <c r="X35" s="6">
        <v>2.921567</v>
      </c>
      <c r="Y35" s="6">
        <v>13.655823</v>
      </c>
      <c r="Z35" s="6">
        <v>5.5182359999999999</v>
      </c>
      <c r="AA35" s="6">
        <v>6.6768650000000003</v>
      </c>
    </row>
    <row r="36" spans="1:27" x14ac:dyDescent="0.45">
      <c r="A36" s="9" t="s">
        <v>18</v>
      </c>
      <c r="B36" s="9"/>
      <c r="C36" s="9"/>
      <c r="D36" s="8">
        <f>D33/I33</f>
        <v>1.4430883364743188</v>
      </c>
      <c r="E36" s="8">
        <f>E33/I33</f>
        <v>1.3215008091612239</v>
      </c>
      <c r="F36" s="8">
        <f>F33/I33</f>
        <v>0.85257256728135311</v>
      </c>
      <c r="G36" s="8">
        <f>G33/I33</f>
        <v>0.56305655515922048</v>
      </c>
      <c r="H36" s="8"/>
      <c r="I36" s="8"/>
      <c r="J36" s="8"/>
      <c r="K36" s="8">
        <f>K33/Q33</f>
        <v>0.61266818759607911</v>
      </c>
      <c r="L36" s="8">
        <f>L33/Q33</f>
        <v>0.62923580375951338</v>
      </c>
      <c r="M36" s="8">
        <f>M33/Q33</f>
        <v>1.0645177425098782</v>
      </c>
      <c r="N36" s="8">
        <f>N33/Q33</f>
        <v>0.67797904697466038</v>
      </c>
      <c r="O36" s="8"/>
      <c r="S36" s="8">
        <f>S33/Z33</f>
        <v>33.162622941809829</v>
      </c>
      <c r="T36" s="8">
        <f>T33/Z33</f>
        <v>0.39740880176338378</v>
      </c>
      <c r="U36" s="8">
        <f>U33/Z33</f>
        <v>0.28110674484312664</v>
      </c>
      <c r="V36" s="8">
        <f>V33/Z33</f>
        <v>0.26921331398074566</v>
      </c>
      <c r="W36" s="8"/>
      <c r="X36" s="8"/>
    </row>
    <row r="37" spans="1:27" x14ac:dyDescent="0.45">
      <c r="A37" s="10"/>
      <c r="B37" s="10"/>
      <c r="C37" s="10"/>
      <c r="D37" s="8">
        <f t="shared" ref="D37:D38" si="7">D34/I34</f>
        <v>1.0149179096708951</v>
      </c>
      <c r="E37" s="8">
        <f t="shared" ref="E37:E38" si="8">E34/I34</f>
        <v>1.1702773275037304</v>
      </c>
      <c r="F37" s="8">
        <f t="shared" ref="F37:F38" si="9">F34/I34</f>
        <v>1.4956702432471287</v>
      </c>
      <c r="G37" s="8">
        <f t="shared" ref="G37:G38" si="10">G34/I34</f>
        <v>1.761100907653337</v>
      </c>
      <c r="H37" s="8"/>
      <c r="I37" s="8"/>
      <c r="J37" s="8"/>
      <c r="K37" s="8">
        <f t="shared" ref="K37:K38" si="11">K34/Q34</f>
        <v>0.71296992881040577</v>
      </c>
      <c r="L37" s="8">
        <f t="shared" ref="L37:L38" si="12">L34/Q34</f>
        <v>1.0024540202216821</v>
      </c>
      <c r="M37" s="8">
        <f t="shared" ref="M37:M38" si="13">M34/Q34</f>
        <v>1.0750653226062015</v>
      </c>
      <c r="N37" s="8">
        <f t="shared" ref="N37:N38" si="14">N34/Q34</f>
        <v>1.4573094683158769</v>
      </c>
      <c r="O37" s="8"/>
      <c r="S37" s="8">
        <f t="shared" ref="S37:S38" si="15">S34/Z34</f>
        <v>0.6602117800206202</v>
      </c>
      <c r="T37" s="8">
        <f t="shared" ref="T37:T38" si="16">T34/Z34</f>
        <v>1.9324890608953889</v>
      </c>
      <c r="U37" s="8">
        <f t="shared" ref="U37:U38" si="17">U34/Z34</f>
        <v>2.0000870543506428</v>
      </c>
      <c r="V37" s="8">
        <f t="shared" ref="V37:V38" si="18">V34/Z34</f>
        <v>1.9506805183680327</v>
      </c>
      <c r="W37" s="8"/>
      <c r="X37" s="8"/>
    </row>
    <row r="38" spans="1:27" x14ac:dyDescent="0.45">
      <c r="A38" s="10"/>
      <c r="B38" s="10"/>
      <c r="C38" s="10"/>
      <c r="D38" s="8">
        <f t="shared" si="7"/>
        <v>0.82710306935123046</v>
      </c>
      <c r="E38" s="8">
        <f t="shared" si="8"/>
        <v>0.6364371901565995</v>
      </c>
      <c r="F38" s="8">
        <f t="shared" si="9"/>
        <v>0.41929786129753915</v>
      </c>
      <c r="G38" s="8">
        <f t="shared" si="10"/>
        <v>0.31576003579418344</v>
      </c>
      <c r="H38" s="8"/>
      <c r="I38" s="8"/>
      <c r="J38" s="8"/>
      <c r="K38" s="8">
        <f t="shared" si="11"/>
        <v>1.3302314781327214</v>
      </c>
      <c r="L38" s="8">
        <f t="shared" si="12"/>
        <v>0.97225388747431041</v>
      </c>
      <c r="M38" s="8">
        <f t="shared" si="13"/>
        <v>0.93478204120102548</v>
      </c>
      <c r="N38" s="8">
        <f t="shared" si="14"/>
        <v>0.68563491587322867</v>
      </c>
      <c r="O38" s="8"/>
      <c r="S38" s="8">
        <f t="shared" si="15"/>
        <v>3.9821085941231948</v>
      </c>
      <c r="T38" s="8">
        <f t="shared" si="16"/>
        <v>0.55687360961002763</v>
      </c>
      <c r="U38" s="8">
        <f t="shared" si="17"/>
        <v>0.41956106987812775</v>
      </c>
      <c r="V38" s="8">
        <f t="shared" si="18"/>
        <v>0.32145544336994653</v>
      </c>
      <c r="W38" s="8"/>
      <c r="X38" s="8"/>
    </row>
    <row r="39" spans="1:27" x14ac:dyDescent="0.45">
      <c r="H39" s="30" t="s">
        <v>19</v>
      </c>
    </row>
    <row r="40" spans="1:27" x14ac:dyDescent="0.45">
      <c r="H40" s="24">
        <f>(((D33+E33+F33+G33)/4)-I33)/I33</f>
        <v>4.5054567019029115E-2</v>
      </c>
      <c r="I40" s="21"/>
    </row>
    <row r="41" spans="1:27" x14ac:dyDescent="0.45">
      <c r="H41" s="24">
        <f t="shared" ref="H41:H42" si="19">(((D34+E34+F34+G34)/4)-I34)/I34</f>
        <v>0.3604915970187727</v>
      </c>
    </row>
    <row r="42" spans="1:27" x14ac:dyDescent="0.45">
      <c r="H42" s="24">
        <f t="shared" si="19"/>
        <v>-0.45035046085011188</v>
      </c>
    </row>
  </sheetData>
  <mergeCells count="25">
    <mergeCell ref="S30:AA30"/>
    <mergeCell ref="S31:V31"/>
    <mergeCell ref="D30:J30"/>
    <mergeCell ref="D31:G31"/>
    <mergeCell ref="H31:H32"/>
    <mergeCell ref="I31:I32"/>
    <mergeCell ref="J31:J32"/>
    <mergeCell ref="Q31:Q32"/>
    <mergeCell ref="R31:R32"/>
    <mergeCell ref="Y31:Y32"/>
    <mergeCell ref="Z31:Z32"/>
    <mergeCell ref="AA31:AA32"/>
    <mergeCell ref="K31:O31"/>
    <mergeCell ref="A36:C38"/>
    <mergeCell ref="A11:A12"/>
    <mergeCell ref="D11:G11"/>
    <mergeCell ref="H11:K11"/>
    <mergeCell ref="A30:A32"/>
    <mergeCell ref="K30:R30"/>
    <mergeCell ref="P31:P32"/>
    <mergeCell ref="B12:C12"/>
    <mergeCell ref="A33:C33"/>
    <mergeCell ref="A34:C34"/>
    <mergeCell ref="A35:C35"/>
    <mergeCell ref="L11:O11"/>
  </mergeCells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Zhaoyuan Yue</dc:creator>
  <cp:lastModifiedBy>Zhaoyuan Yue</cp:lastModifiedBy>
  <dcterms:created xsi:type="dcterms:W3CDTF">2024-03-21T07:02:52Z</dcterms:created>
  <dcterms:modified xsi:type="dcterms:W3CDTF">2024-03-30T15:08:58Z</dcterms:modified>
</cp:coreProperties>
</file>